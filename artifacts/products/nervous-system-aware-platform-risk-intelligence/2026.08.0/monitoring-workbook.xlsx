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itoring-workboo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<sst xmlns="http://schemas.openxmlformats.org/spreadsheetml/2006/main" count="11" uniqueCount="11">
  <si>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Scenario</t>
  </si>
  <si>
    <t xml:space="preserve">Mean</t>
  </si>
  <si>
    <t xml:space="preserve">Sample SD</t>
  </si>
  <si>
    <t xml:space="preserve">Current</t>
  </si>
  <si>
    <t xml:space="preserve">Lower Control Limit</t>
  </si>
  <si>
    <t xml:space="preserve">Below Limit</t>
  </si>
  <si>
    <t xml:space="preserve">Official Notice</t>
  </si>
  <si>
    <t xml:space="preserve">Decision</t>
  </si>
  <si>
    <t xml:space="preserve">normal-variation</t>
  </si>
  <si>
    <t xml:space="preserve">suspected-reduction</t>
  </si>
  <si>
    <t xml:space="preserve">confirmed-enforcement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</si>
</sst>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07"/>
    <col collapsed="false" customWidth="true" hidden="false" outlineLevel="0" max="2" min="2" style="0" width="6.02"/>
    <col collapsed="false" customWidth="true" hidden="false" outlineLevel="0" max="3" min="3" style="0" width="10.76"/>
    <col collapsed="false" customWidth="true" hidden="false" outlineLevel="0" max="4" min="4" style="0" width="7.42"/>
    <col collapsed="false" customWidth="true" hidden="false" outlineLevel="0" max="5" min="5" style="0" width="17.01"/>
    <col collapsed="false" customWidth="true" hidden="false" outlineLevel="0" max="6" min="6" style="0" width="10.89"/>
    <col collapsed="false" customWidth="true" hidden="false" outlineLevel="0" max="7" min="7" style="0" width="12.98"/>
    <col collapsed="false" customWidth="true" hidden="false" outlineLevel="0" max="8" min="8" style="0" width="10.33"/>
  </cols>
  <sheetProtection sheet="1" objects="1" scenarios="1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n">
        <v>1000</v>
      </c>
      <c r="C2" s="0" t="n">
        <v>79.0569</v>
      </c>
      <c r="D2" s="0" t="n">
        <v>950</v>
      </c>
      <c r="E2" s="0" t="n">
        <f aca="false">MAX(0,B2-3*C2)</f>
        <v>762.8293</v>
      </c>
      <c r="F2" s="0" t="n">
        <f aca="false">D2&lt;E2</f>
        <v>0</v>
      </c>
      <c r="G2" s="0" t="n">
        <v>0</v>
      </c>
      <c r="H2" s="0" t="str">
        <f aca="false">IF(G2=1,"respond",IF(F2=1,"investigate","observe"))</f>
        <v>observe</v>
      </c>
    </row>
    <row r="3" customFormat="false" ht="12.8" hidden="false" customHeight="false" outlineLevel="0" collapsed="false">
      <c r="A3" s="0" t="s">
        <v>9</v>
      </c>
      <c r="B3" s="0" t="n">
        <v>1000</v>
      </c>
      <c r="C3" s="0" t="n">
        <v>79.0569</v>
      </c>
      <c r="D3" s="0" t="n">
        <v>500</v>
      </c>
      <c r="E3" s="0" t="n">
        <f aca="false">MAX(0,B3-3*C3)</f>
        <v>762.8293</v>
      </c>
      <c r="F3" s="0" t="n">
        <f aca="false">D3&lt;E3</f>
        <v>1</v>
      </c>
      <c r="G3" s="0" t="n">
        <v>0</v>
      </c>
      <c r="H3" s="0" t="str">
        <f aca="false">IF(G3=1,"respond",IF(F3=1,"investigate","observe"))</f>
        <v>investigate</v>
      </c>
    </row>
    <row r="4" customFormat="false" ht="12.8" hidden="false" customHeight="false" outlineLevel="0" collapsed="false">
      <c r="A4" s="0" t="s">
        <v>10</v>
      </c>
      <c r="B4" s="0" t="n">
        <v>1000</v>
      </c>
      <c r="C4" s="0" t="n">
        <v>79.0569</v>
      </c>
      <c r="D4" s="0" t="n">
        <v>500</v>
      </c>
      <c r="E4" s="0" t="n">
        <f aca="false">MAX(0,B4-3*C4)</f>
        <v>762.8293</v>
      </c>
      <c r="F4" s="0" t="n">
        <f aca="false">D4&lt;E4</f>
        <v>1</v>
      </c>
      <c r="G4" s="0" t="n">
        <v>1</v>
      </c>
      <c r="H4" s="0" t="str">
        <f aca="false">IF(G4=1,"respond",IF(F4=1,"investigate","observe"))</f>
        <v>respond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